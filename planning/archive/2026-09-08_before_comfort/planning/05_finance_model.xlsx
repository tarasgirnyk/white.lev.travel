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одель" sheetId="1" state="visible" r:id="rId3"/>
    <sheet name="Чутливість" sheetId="2" state="visible" r:id="rId4"/>
    <sheet name="Сукупний дохід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<sst xmlns="http://schemas.openxmlformats.org/spreadsheetml/2006/main" count="80" uniqueCount="73">
  <si>
    <t xml:space="preserve">White.Lev.Travel · «Білий Лев» — фінансова модель комплексу «Варуш»</t>
  </si>
  <si>
    <t xml:space="preserve">Прикарпаття / Турківщина · Сценарій A: 2×Compact + Comfort + VIP · редагуй ЖОВТІ комірки</t>
  </si>
  <si>
    <t xml:space="preserve">ГЛОБАЛЬНІ ПРИПУЩЕННЯ</t>
  </si>
  <si>
    <t xml:space="preserve">Курс, грн за $</t>
  </si>
  <si>
    <t xml:space="preserve">Завантаження, % року</t>
  </si>
  <si>
    <t xml:space="preserve">Опекс + управління, % валового доходу</t>
  </si>
  <si>
    <t xml:space="preserve">Маржа девелопера, %</t>
  </si>
  <si>
    <t xml:space="preserve">Спільна інженерія на комплекс, $</t>
  </si>
  <si>
    <t xml:space="preserve">← розподіляється порівну між будинками (спрощення)</t>
  </si>
  <si>
    <t xml:space="preserve">Будинків усього (авто, для розподілу інж.)</t>
  </si>
  <si>
    <t xml:space="preserve">ЕКОНОМІКА ПО ТИПАХ БУДИНКІВ</t>
  </si>
  <si>
    <t xml:space="preserve">Показник</t>
  </si>
  <si>
    <t xml:space="preserve">Compact</t>
  </si>
  <si>
    <t xml:space="preserve">Comfort</t>
  </si>
  <si>
    <t xml:space="preserve">VIP-вілла</t>
  </si>
  <si>
    <t xml:space="preserve">Площа, м²</t>
  </si>
  <si>
    <t xml:space="preserve">Собівартість будівництва, $/м²</t>
  </si>
  <si>
    <t xml:space="preserve">Меблі + wellness + тераса, $ (VIP: джакузі; кошторис уточнити)</t>
  </si>
  <si>
    <t xml:space="preserve">Ставка оренди, $/ніч</t>
  </si>
  <si>
    <t xml:space="preserve">Кількість будинків, шт</t>
  </si>
  <si>
    <t xml:space="preserve">Будівництво, $</t>
  </si>
  <si>
    <t xml:space="preserve">All-in собівартість (без інж.), $</t>
  </si>
  <si>
    <t xml:space="preserve">Частка спільної інженерії, $</t>
  </si>
  <si>
    <t xml:space="preserve">Повна собівартість / будинок, $</t>
  </si>
  <si>
    <t xml:space="preserve">Ціна продажу інвестору, $</t>
  </si>
  <si>
    <t xml:space="preserve">Валовий дохід оренди / рік, $</t>
  </si>
  <si>
    <t xml:space="preserve">Чистий дохід інвестору / рік, $</t>
  </si>
  <si>
    <t xml:space="preserve">Дохідність інвестора, %</t>
  </si>
  <si>
    <t xml:space="preserve">Окупність, років</t>
  </si>
  <si>
    <t xml:space="preserve">Маржа девелопера / будинок, $</t>
  </si>
  <si>
    <t xml:space="preserve">ПІДСУМОК КОМПЛЕКСУ (Сценарій A)</t>
  </si>
  <si>
    <t xml:space="preserve">Повний капекс комплексу, $</t>
  </si>
  <si>
    <t xml:space="preserve">Виручка від продажу всіх будинків, $</t>
  </si>
  <si>
    <t xml:space="preserve">Маржа девелопера всього, $</t>
  </si>
  <si>
    <t xml:space="preserve">Маржа девелопера, % до капексу</t>
  </si>
  <si>
    <t xml:space="preserve">Якщо лишити собі: чистий дохід/рік усіх, $</t>
  </si>
  <si>
    <t xml:space="preserve">Легенда:</t>
  </si>
  <si>
    <t xml:space="preserve">Жовті комірки (синій текст) — редаговані припущення. Чорні — формули, перераховуються автоматично.</t>
  </si>
  <si>
    <t xml:space="preserve">Ставки й собівартість — ГІПОТЕЗА за ринком 2026 (див. 04_market_monitor.md). Локація тиха → консервативне завантаження 45%.</t>
  </si>
  <si>
    <t xml:space="preserve">Чутливість дохідності інвестора — по типах</t>
  </si>
  <si>
    <t xml:space="preserve">Рядки — завантаження; стовпці — ставка $/ніч. Комірка = дохідність до ціни продажу типу. Опекс+управління береться з «Модель».</t>
  </si>
  <si>
    <t xml:space="preserve">Ціна продажу, $</t>
  </si>
  <si>
    <t xml:space="preserve">Завантаж. \ $/ніч</t>
  </si>
  <si>
    <t xml:space="preserve">Базовий сценарій моделі: завантаження 45%, ставки Compact $76 / Comfort $100 / VIP $167.</t>
  </si>
  <si>
    <t xml:space="preserve">White.Lev.Travel — сукупний дохід інвестора (оренда + приріст вартості)</t>
  </si>
  <si>
    <t xml:space="preserve">Головна теза: оренда тримає актив, а основний виграш — у ПРИРОСТІ вартості (близькість до кордону з Польщею, повоєнне відновлення). Редагуй жовті комірки.</t>
  </si>
  <si>
    <t xml:space="preserve">ПРИПУЩЕННЯ (редаговані)</t>
  </si>
  <si>
    <t xml:space="preserve">Період утримання, років</t>
  </si>
  <si>
    <t xml:space="preserve">Приріст вартості /рік — Обережний</t>
  </si>
  <si>
    <t xml:space="preserve">Приріст вартості /рік — Базовий</t>
  </si>
  <si>
    <t xml:space="preserve">Приріст вартості /рік — Проривний (повоєнний)</t>
  </si>
  <si>
    <t xml:space="preserve">← близькість кордону + релокації + відновлення</t>
  </si>
  <si>
    <t xml:space="preserve">Тип · сценарій</t>
  </si>
  <si>
    <t xml:space="preserve">Ціна активу, $</t>
  </si>
  <si>
    <t xml:space="preserve">Приріст %/рік</t>
  </si>
  <si>
    <t xml:space="preserve">Вартість через N р., $</t>
  </si>
  <si>
    <t xml:space="preserve">Кап. приріст, $</t>
  </si>
  <si>
    <t xml:space="preserve">Оренда (чиста) за N р., $</t>
  </si>
  <si>
    <t xml:space="preserve">Сукупний дохід, $</t>
  </si>
  <si>
    <t xml:space="preserve">Сукупно, % до ціни</t>
  </si>
  <si>
    <t xml:space="preserve">Серед. річна, %</t>
  </si>
  <si>
    <t xml:space="preserve">Compact · Обережний</t>
  </si>
  <si>
    <t xml:space="preserve">Compact · Базовий</t>
  </si>
  <si>
    <t xml:space="preserve">Compact · Проривний</t>
  </si>
  <si>
    <t xml:space="preserve">Comfort · Обережний</t>
  </si>
  <si>
    <t xml:space="preserve">Comfort · Базовий</t>
  </si>
  <si>
    <t xml:space="preserve">Comfort · Проривний</t>
  </si>
  <si>
    <t xml:space="preserve">VIP-вілла · Обережний</t>
  </si>
  <si>
    <t xml:space="preserve">VIP-вілла · Базовий</t>
  </si>
  <si>
    <t xml:space="preserve">VIP-вілла · Проривний</t>
  </si>
  <si>
    <t xml:space="preserve">Оренду взято незмінною (консервативно, без індексації). Приріст вартості — складний відсоток.</t>
  </si>
  <si>
    <t xml:space="preserve">⚠️ Приріст вартості — СПЕКУЛЯТИВНА теза, не гарантія: залежить від строків завершення війни, темпів відновлення та ринку. Оренда — реальний поточний дохід, що тримає актив.</t>
  </si>
  <si>
    <t xml:space="preserve">Сукупний дохід = капітальний приріст активу + накопичена чиста оренда за період утримання.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</si>
</sst>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$#,##0"/>
    <numFmt numFmtId="168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3D2B"/>
      <name val="Arial"/>
      <family val="0"/>
      <charset val="1"/>
    </font>
    <font>
      <sz val="10"/>
      <color rgb="FF5A6B6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23D2B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23D2B"/>
        <bgColor rgb="FF333333"/>
      </patternFill>
    </fill>
    <fill>
      <patternFill patternType="solid">
        <fgColor rgb="FFFFF3B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60"/>
      <rgbColor rgb="FF969696"/>
      <rgbColor rgb="FF003366"/>
      <rgbColor rgb="FF339966"/>
      <rgbColor rgb="FF123D2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5"/>
    <col collapsed="false" customWidth="true" hidden="false" outlineLevel="0" max="5" min="5" style="0" width="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42</v>
      </c>
    </row>
    <row r="6" customFormat="false" ht="15" hidden="false" customHeight="false" outlineLevel="0" collapsed="false">
      <c r="A6" s="4" t="s">
        <v>4</v>
      </c>
      <c r="B6" s="6" t="n">
        <v>0.45</v>
      </c>
    </row>
    <row r="7" customFormat="false" ht="15" hidden="false" customHeight="false" outlineLevel="0" collapsed="false">
      <c r="A7" s="4" t="s">
        <v>5</v>
      </c>
      <c r="B7" s="6" t="n">
        <v>0.45</v>
      </c>
    </row>
    <row r="8" customFormat="false" ht="15" hidden="false" customHeight="false" outlineLevel="0" collapsed="false">
      <c r="A8" s="4" t="s">
        <v>6</v>
      </c>
      <c r="B8" s="6" t="n">
        <v>0.3</v>
      </c>
    </row>
    <row r="9" customFormat="false" ht="15" hidden="false" customHeight="false" outlineLevel="0" collapsed="false">
      <c r="A9" s="4" t="s">
        <v>7</v>
      </c>
      <c r="B9" s="7" t="n">
        <v>75000</v>
      </c>
      <c r="C9" s="2" t="s">
        <v>8</v>
      </c>
    </row>
    <row r="10" customFormat="false" ht="15" hidden="false" customHeight="false" outlineLevel="0" collapsed="false">
      <c r="A10" s="4" t="s">
        <v>9</v>
      </c>
      <c r="B10" s="8" t="n">
        <f aca="false">SUM(B18:D18)</f>
        <v>4</v>
      </c>
    </row>
    <row r="12" customFormat="false" ht="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9" t="s">
        <v>11</v>
      </c>
      <c r="B13" s="10" t="s">
        <v>12</v>
      </c>
      <c r="C13" s="10" t="s">
        <v>13</v>
      </c>
      <c r="D13" s="10" t="s">
        <v>14</v>
      </c>
    </row>
    <row r="14" customFormat="false" ht="15" hidden="false" customHeight="false" outlineLevel="0" collapsed="false">
      <c r="A14" s="4" t="s">
        <v>15</v>
      </c>
      <c r="B14" s="5" t="n">
        <v>40</v>
      </c>
      <c r="C14" s="5" t="n">
        <v>55</v>
      </c>
      <c r="D14" s="5" t="n">
        <v>90</v>
      </c>
    </row>
    <row r="15" customFormat="false" ht="15" hidden="false" customHeight="false" outlineLevel="0" collapsed="false">
      <c r="A15" s="4" t="s">
        <v>16</v>
      </c>
      <c r="B15" s="7" t="n">
        <v>850</v>
      </c>
      <c r="C15" s="7" t="n">
        <v>1000</v>
      </c>
      <c r="D15" s="7" t="n">
        <v>1300</v>
      </c>
    </row>
    <row r="16" customFormat="false" ht="15" hidden="false" customHeight="false" outlineLevel="0" collapsed="false">
      <c r="A16" s="4" t="s">
        <v>17</v>
      </c>
      <c r="B16" s="7" t="n">
        <v>12000</v>
      </c>
      <c r="C16" s="7" t="n">
        <v>18000</v>
      </c>
      <c r="D16" s="7" t="n">
        <v>40000</v>
      </c>
    </row>
    <row r="17" customFormat="false" ht="15" hidden="false" customHeight="false" outlineLevel="0" collapsed="false">
      <c r="A17" s="4" t="s">
        <v>18</v>
      </c>
      <c r="B17" s="7" t="n">
        <v>76</v>
      </c>
      <c r="C17" s="7" t="n">
        <v>100</v>
      </c>
      <c r="D17" s="7" t="n">
        <v>167</v>
      </c>
    </row>
    <row r="18" customFormat="false" ht="15" hidden="false" customHeight="false" outlineLevel="0" collapsed="false">
      <c r="A18" s="4" t="s">
        <v>19</v>
      </c>
      <c r="B18" s="5" t="n">
        <v>2</v>
      </c>
      <c r="C18" s="5" t="n">
        <v>1</v>
      </c>
      <c r="D18" s="5" t="n">
        <v>1</v>
      </c>
    </row>
    <row r="19" customFormat="false" ht="15" hidden="false" customHeight="false" outlineLevel="0" collapsed="false">
      <c r="A19" s="4" t="s">
        <v>20</v>
      </c>
      <c r="B19" s="11" t="n">
        <f aca="false">B14*B15</f>
        <v>34000</v>
      </c>
      <c r="C19" s="11" t="n">
        <f aca="false">C14*C15</f>
        <v>55000</v>
      </c>
      <c r="D19" s="11" t="n">
        <f aca="false">D14*D15</f>
        <v>117000</v>
      </c>
    </row>
    <row r="20" customFormat="false" ht="15" hidden="false" customHeight="false" outlineLevel="0" collapsed="false">
      <c r="A20" s="4" t="s">
        <v>21</v>
      </c>
      <c r="B20" s="11" t="n">
        <f aca="false">B19+B16</f>
        <v>46000</v>
      </c>
      <c r="C20" s="11" t="n">
        <f aca="false">C19+C16</f>
        <v>73000</v>
      </c>
      <c r="D20" s="11" t="n">
        <f aca="false">D19+D16</f>
        <v>157000</v>
      </c>
    </row>
    <row r="21" customFormat="false" ht="15" hidden="false" customHeight="false" outlineLevel="0" collapsed="false">
      <c r="A21" s="4" t="s">
        <v>22</v>
      </c>
      <c r="B21" s="11" t="n">
        <f aca="false">$B$9/$B$10</f>
        <v>18750</v>
      </c>
      <c r="C21" s="11" t="n">
        <f aca="false">$B$9/$B$10</f>
        <v>18750</v>
      </c>
      <c r="D21" s="11" t="n">
        <f aca="false">$B$9/$B$10</f>
        <v>18750</v>
      </c>
    </row>
    <row r="22" customFormat="false" ht="15" hidden="false" customHeight="false" outlineLevel="0" collapsed="false">
      <c r="A22" s="4" t="s">
        <v>23</v>
      </c>
      <c r="B22" s="12" t="n">
        <f aca="false">B20+B21</f>
        <v>64750</v>
      </c>
      <c r="C22" s="12" t="n">
        <f aca="false">C20+C21</f>
        <v>91750</v>
      </c>
      <c r="D22" s="12" t="n">
        <f aca="false">D20+D21</f>
        <v>175750</v>
      </c>
    </row>
    <row r="23" customFormat="false" ht="15" hidden="false" customHeight="false" outlineLevel="0" collapsed="false">
      <c r="A23" s="4" t="s">
        <v>24</v>
      </c>
      <c r="B23" s="12" t="n">
        <f aca="false">B22*(1+$B$8)</f>
        <v>84175</v>
      </c>
      <c r="C23" s="12" t="n">
        <f aca="false">C22*(1+$B$8)</f>
        <v>119275</v>
      </c>
      <c r="D23" s="12" t="n">
        <f aca="false">D22*(1+$B$8)</f>
        <v>228475</v>
      </c>
    </row>
    <row r="24" customFormat="false" ht="15" hidden="false" customHeight="false" outlineLevel="0" collapsed="false">
      <c r="A24" s="4" t="s">
        <v>25</v>
      </c>
      <c r="B24" s="11" t="n">
        <f aca="false">B17*365*$B$6</f>
        <v>12483</v>
      </c>
      <c r="C24" s="11" t="n">
        <f aca="false">C17*365*$B$6</f>
        <v>16425</v>
      </c>
      <c r="D24" s="11" t="n">
        <f aca="false">D17*365*$B$6</f>
        <v>27429.75</v>
      </c>
    </row>
    <row r="25" customFormat="false" ht="15" hidden="false" customHeight="false" outlineLevel="0" collapsed="false">
      <c r="A25" s="4" t="s">
        <v>26</v>
      </c>
      <c r="B25" s="11" t="n">
        <f aca="false">B24*(1-$B$7)</f>
        <v>6865.65</v>
      </c>
      <c r="C25" s="11" t="n">
        <f aca="false">C24*(1-$B$7)</f>
        <v>9033.75</v>
      </c>
      <c r="D25" s="11" t="n">
        <f aca="false">D24*(1-$B$7)</f>
        <v>15086.3625</v>
      </c>
    </row>
    <row r="26" customFormat="false" ht="15" hidden="false" customHeight="false" outlineLevel="0" collapsed="false">
      <c r="A26" s="4" t="s">
        <v>27</v>
      </c>
      <c r="B26" s="13" t="n">
        <f aca="false">B25/B23</f>
        <v>0.0815640035640036</v>
      </c>
      <c r="C26" s="13" t="n">
        <f aca="false">C25/C23</f>
        <v>0.0757388388178579</v>
      </c>
      <c r="D26" s="13" t="n">
        <f aca="false">D25/D23</f>
        <v>0.0660306926359558</v>
      </c>
    </row>
    <row r="27" customFormat="false" ht="15" hidden="false" customHeight="false" outlineLevel="0" collapsed="false">
      <c r="A27" s="4" t="s">
        <v>28</v>
      </c>
      <c r="B27" s="14" t="n">
        <f aca="false">B23/B25</f>
        <v>12.260310385761</v>
      </c>
      <c r="C27" s="14" t="n">
        <f aca="false">C23/C25</f>
        <v>13.2032655320327</v>
      </c>
      <c r="D27" s="14" t="n">
        <f aca="false">D23/D25</f>
        <v>15.1444723670136</v>
      </c>
    </row>
    <row r="28" customFormat="false" ht="15" hidden="false" customHeight="false" outlineLevel="0" collapsed="false">
      <c r="A28" s="4" t="s">
        <v>29</v>
      </c>
      <c r="B28" s="11" t="n">
        <f aca="false">B23-B22</f>
        <v>19425</v>
      </c>
      <c r="C28" s="11" t="n">
        <f aca="false">C23-C22</f>
        <v>27525</v>
      </c>
      <c r="D28" s="11" t="n">
        <f aca="false">D23-D22</f>
        <v>52725</v>
      </c>
    </row>
    <row r="30" customFormat="false" ht="15" hidden="false" customHeight="false" outlineLevel="0" collapsed="false">
      <c r="A30" s="3" t="s">
        <v>30</v>
      </c>
    </row>
    <row r="31" customFormat="false" ht="15" hidden="false" customHeight="false" outlineLevel="0" collapsed="false">
      <c r="A31" s="4" t="s">
        <v>31</v>
      </c>
      <c r="B31" s="12" t="n">
        <f aca="false">SUMPRODUCT(B22:D22,B18:D18)</f>
        <v>397000</v>
      </c>
    </row>
    <row r="32" customFormat="false" ht="15" hidden="false" customHeight="false" outlineLevel="0" collapsed="false">
      <c r="A32" s="4" t="s">
        <v>32</v>
      </c>
      <c r="B32" s="12" t="n">
        <f aca="false">SUMPRODUCT(B23:D23,B18:D18)</f>
        <v>516100</v>
      </c>
    </row>
    <row r="33" customFormat="false" ht="15" hidden="false" customHeight="false" outlineLevel="0" collapsed="false">
      <c r="A33" s="4" t="s">
        <v>33</v>
      </c>
      <c r="B33" s="12" t="n">
        <f aca="false">B32-B31</f>
        <v>119100</v>
      </c>
    </row>
    <row r="34" customFormat="false" ht="15" hidden="false" customHeight="false" outlineLevel="0" collapsed="false">
      <c r="A34" s="4" t="s">
        <v>34</v>
      </c>
      <c r="B34" s="15" t="n">
        <f aca="false">B33/B31</f>
        <v>0.3</v>
      </c>
    </row>
    <row r="35" customFormat="false" ht="15" hidden="false" customHeight="false" outlineLevel="0" collapsed="false">
      <c r="A35" s="4" t="s">
        <v>35</v>
      </c>
      <c r="B35" s="11" t="n">
        <f aca="false">SUMPRODUCT(B25:D25,B18:D18)</f>
        <v>37851.4125</v>
      </c>
    </row>
    <row r="37" customFormat="false" ht="15" hidden="false" customHeight="false" outlineLevel="0" collapsed="false">
      <c r="A37" s="16" t="s">
        <v>36</v>
      </c>
    </row>
    <row r="38" customFormat="false" ht="15" hidden="false" customHeight="false" outlineLevel="0" collapsed="false">
      <c r="A38" s="2" t="s">
        <v>37</v>
      </c>
    </row>
    <row r="39" customFormat="false" ht="15" hidden="false" customHeight="false" outlineLevel="0" collapsed="false">
      <c r="A39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3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17" t="s">
        <v>12</v>
      </c>
      <c r="D4" s="18" t="s">
        <v>41</v>
      </c>
      <c r="E4" s="19" t="n">
        <f aca="false">Модель!B23</f>
        <v>84175</v>
      </c>
    </row>
    <row r="5" customFormat="false" ht="15" hidden="false" customHeight="false" outlineLevel="0" collapsed="false">
      <c r="A5" s="16" t="s">
        <v>42</v>
      </c>
      <c r="B5" s="7" t="n">
        <v>55</v>
      </c>
      <c r="C5" s="7" t="n">
        <v>70</v>
      </c>
      <c r="D5" s="7" t="n">
        <v>85</v>
      </c>
      <c r="E5" s="7" t="n">
        <v>100</v>
      </c>
    </row>
    <row r="6" customFormat="false" ht="15" hidden="false" customHeight="false" outlineLevel="0" collapsed="false">
      <c r="A6" s="20" t="n">
        <v>0.35</v>
      </c>
      <c r="B6" s="15" t="n">
        <f aca="false">(B$5*365*$A6*(1-Модель!$B$7))/$E$4</f>
        <v>0.0459095634095634</v>
      </c>
      <c r="C6" s="15" t="n">
        <f aca="false">(C$5*365*$A6*(1-Модель!$B$7))/$E$4</f>
        <v>0.0584303534303534</v>
      </c>
      <c r="D6" s="15" t="n">
        <f aca="false">(D$5*365*$A6*(1-Модель!$B$7))/$E$4</f>
        <v>0.0709511434511435</v>
      </c>
      <c r="E6" s="15" t="n">
        <f aca="false">(E$5*365*$A6*(1-Модель!$B$7))/$E$4</f>
        <v>0.0834719334719335</v>
      </c>
    </row>
    <row r="7" customFormat="false" ht="15" hidden="false" customHeight="false" outlineLevel="0" collapsed="false">
      <c r="A7" s="20" t="n">
        <v>0.45</v>
      </c>
      <c r="B7" s="15" t="n">
        <f aca="false">(B$5*365*$A7*(1-Модель!$B$7))/$E$4</f>
        <v>0.0590265815265815</v>
      </c>
      <c r="C7" s="15" t="n">
        <f aca="false">(C$5*365*$A7*(1-Модель!$B$7))/$E$4</f>
        <v>0.0751247401247401</v>
      </c>
      <c r="D7" s="15" t="n">
        <f aca="false">(D$5*365*$A7*(1-Модель!$B$7))/$E$4</f>
        <v>0.0912228987228987</v>
      </c>
      <c r="E7" s="15" t="n">
        <f aca="false">(E$5*365*$A7*(1-Модель!$B$7))/$E$4</f>
        <v>0.107321057321057</v>
      </c>
    </row>
    <row r="8" customFormat="false" ht="15" hidden="false" customHeight="false" outlineLevel="0" collapsed="false">
      <c r="A8" s="20" t="n">
        <v>0.55</v>
      </c>
      <c r="B8" s="15" t="n">
        <f aca="false">(B$5*365*$A8*(1-Модель!$B$7))/$E$4</f>
        <v>0.0721435996435997</v>
      </c>
      <c r="C8" s="15" t="n">
        <f aca="false">(C$5*365*$A8*(1-Модель!$B$7))/$E$4</f>
        <v>0.0918191268191268</v>
      </c>
      <c r="D8" s="15" t="n">
        <f aca="false">(D$5*365*$A8*(1-Модель!$B$7))/$E$4</f>
        <v>0.111494653994654</v>
      </c>
      <c r="E8" s="15" t="n">
        <f aca="false">(E$5*365*$A8*(1-Модель!$B$7))/$E$4</f>
        <v>0.131170181170181</v>
      </c>
    </row>
    <row r="11" customFormat="false" ht="15" hidden="false" customHeight="false" outlineLevel="0" collapsed="false">
      <c r="A11" s="17" t="s">
        <v>13</v>
      </c>
      <c r="D11" s="18" t="s">
        <v>41</v>
      </c>
      <c r="E11" s="19" t="n">
        <f aca="false">Модель!C23</f>
        <v>119275</v>
      </c>
    </row>
    <row r="12" customFormat="false" ht="15" hidden="false" customHeight="false" outlineLevel="0" collapsed="false">
      <c r="A12" s="16" t="s">
        <v>42</v>
      </c>
      <c r="B12" s="7" t="n">
        <v>80</v>
      </c>
      <c r="C12" s="7" t="n">
        <v>95</v>
      </c>
      <c r="D12" s="7" t="n">
        <v>110</v>
      </c>
      <c r="E12" s="7" t="n">
        <v>125</v>
      </c>
    </row>
    <row r="13" customFormat="false" ht="15" hidden="false" customHeight="false" outlineLevel="0" collapsed="false">
      <c r="A13" s="20" t="n">
        <v>0.35</v>
      </c>
      <c r="B13" s="15" t="n">
        <f aca="false">(B$12*365*$A13*(1-Модель!$B$7))/$E$11</f>
        <v>0.0471263885977782</v>
      </c>
      <c r="C13" s="15" t="n">
        <f aca="false">(C$12*365*$A13*(1-Модель!$B$7))/$E$11</f>
        <v>0.0559625864598617</v>
      </c>
      <c r="D13" s="15" t="n">
        <f aca="false">(D$12*365*$A13*(1-Модель!$B$7))/$E$11</f>
        <v>0.0647987843219451</v>
      </c>
      <c r="E13" s="15" t="n">
        <f aca="false">(E$12*365*$A13*(1-Модель!$B$7))/$E$11</f>
        <v>0.0736349821840285</v>
      </c>
    </row>
    <row r="14" customFormat="false" ht="15" hidden="false" customHeight="false" outlineLevel="0" collapsed="false">
      <c r="A14" s="20" t="n">
        <v>0.45</v>
      </c>
      <c r="B14" s="15" t="n">
        <f aca="false">(B$12*365*$A14*(1-Модель!$B$7))/$E$11</f>
        <v>0.0605910710542863</v>
      </c>
      <c r="C14" s="15" t="n">
        <f aca="false">(C$12*365*$A14*(1-Модель!$B$7))/$E$11</f>
        <v>0.071951896876965</v>
      </c>
      <c r="D14" s="15" t="n">
        <f aca="false">(D$12*365*$A14*(1-Модель!$B$7))/$E$11</f>
        <v>0.0833127226996437</v>
      </c>
      <c r="E14" s="15" t="n">
        <f aca="false">(E$12*365*$A14*(1-Модель!$B$7))/$E$11</f>
        <v>0.0946735485223224</v>
      </c>
    </row>
    <row r="15" customFormat="false" ht="15" hidden="false" customHeight="false" outlineLevel="0" collapsed="false">
      <c r="A15" s="20" t="n">
        <v>0.55</v>
      </c>
      <c r="B15" s="15" t="n">
        <f aca="false">(B$12*365*$A15*(1-Модель!$B$7))/$E$11</f>
        <v>0.0740557535107944</v>
      </c>
      <c r="C15" s="15" t="n">
        <f aca="false">(C$12*365*$A15*(1-Модель!$B$7))/$E$11</f>
        <v>0.0879412072940683</v>
      </c>
      <c r="D15" s="15" t="n">
        <f aca="false">(D$12*365*$A15*(1-Модель!$B$7))/$E$11</f>
        <v>0.101826661077342</v>
      </c>
      <c r="E15" s="15" t="n">
        <f aca="false">(E$12*365*$A15*(1-Модель!$B$7))/$E$11</f>
        <v>0.115712114860616</v>
      </c>
    </row>
    <row r="18" customFormat="false" ht="15" hidden="false" customHeight="false" outlineLevel="0" collapsed="false">
      <c r="A18" s="17" t="s">
        <v>14</v>
      </c>
      <c r="D18" s="18" t="s">
        <v>41</v>
      </c>
      <c r="E18" s="19" t="n">
        <f aca="false">Модель!D23</f>
        <v>228475</v>
      </c>
    </row>
    <row r="19" customFormat="false" ht="15" hidden="false" customHeight="false" outlineLevel="0" collapsed="false">
      <c r="A19" s="16" t="s">
        <v>42</v>
      </c>
      <c r="B19" s="7" t="n">
        <v>150</v>
      </c>
      <c r="C19" s="7" t="n">
        <v>175</v>
      </c>
      <c r="D19" s="7" t="n">
        <v>200</v>
      </c>
      <c r="E19" s="7" t="n">
        <v>230</v>
      </c>
    </row>
    <row r="20" customFormat="false" ht="15" hidden="false" customHeight="false" outlineLevel="0" collapsed="false">
      <c r="A20" s="20" t="n">
        <v>0.35</v>
      </c>
      <c r="B20" s="15" t="n">
        <f aca="false">(B$19*365*$A20*(1-Модель!$B$7))/$E$18</f>
        <v>0.0461292263923843</v>
      </c>
      <c r="C20" s="15" t="n">
        <f aca="false">(C$19*365*$A20*(1-Модель!$B$7))/$E$18</f>
        <v>0.053817430791115</v>
      </c>
      <c r="D20" s="15" t="n">
        <f aca="false">(D$19*365*$A20*(1-Модель!$B$7))/$E$18</f>
        <v>0.0615056351898457</v>
      </c>
      <c r="E20" s="15" t="n">
        <f aca="false">(E$19*365*$A20*(1-Модель!$B$7))/$E$18</f>
        <v>0.0707314804683226</v>
      </c>
    </row>
    <row r="21" customFormat="false" ht="15" hidden="false" customHeight="false" outlineLevel="0" collapsed="false">
      <c r="A21" s="20" t="n">
        <v>0.45</v>
      </c>
      <c r="B21" s="15" t="n">
        <f aca="false">(B$19*365*$A21*(1-Модель!$B$7))/$E$18</f>
        <v>0.059309005361637</v>
      </c>
      <c r="C21" s="15" t="n">
        <f aca="false">(C$19*365*$A21*(1-Модель!$B$7))/$E$18</f>
        <v>0.0691938395885764</v>
      </c>
      <c r="D21" s="15" t="n">
        <f aca="false">(D$19*365*$A21*(1-Модель!$B$7))/$E$18</f>
        <v>0.0790786738155159</v>
      </c>
      <c r="E21" s="15" t="n">
        <f aca="false">(E$19*365*$A21*(1-Модель!$B$7))/$E$18</f>
        <v>0.0909404748878433</v>
      </c>
    </row>
    <row r="22" customFormat="false" ht="15" hidden="false" customHeight="false" outlineLevel="0" collapsed="false">
      <c r="A22" s="20" t="n">
        <v>0.55</v>
      </c>
      <c r="B22" s="15" t="n">
        <f aca="false">(B$19*365*$A22*(1-Модель!$B$7))/$E$18</f>
        <v>0.0724887843308896</v>
      </c>
      <c r="C22" s="15" t="n">
        <f aca="false">(C$19*365*$A22*(1-Модель!$B$7))/$E$18</f>
        <v>0.0845702483860379</v>
      </c>
      <c r="D22" s="15" t="n">
        <f aca="false">(D$19*365*$A22*(1-Модель!$B$7))/$E$18</f>
        <v>0.0966517124411861</v>
      </c>
      <c r="E22" s="15" t="n">
        <f aca="false">(E$19*365*$A22*(1-Модель!$B$7))/$E$18</f>
        <v>0.111149469307364</v>
      </c>
    </row>
    <row r="26" customFormat="false" ht="15" hidden="false" customHeight="false" outlineLevel="0" collapsed="false">
      <c r="A26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2" style="0" width="15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A4" s="3" t="s">
        <v>46</v>
      </c>
    </row>
    <row r="5" customFormat="false" ht="15" hidden="false" customHeight="false" outlineLevel="0" collapsed="false">
      <c r="A5" s="4" t="s">
        <v>47</v>
      </c>
      <c r="B5" s="5" t="n">
        <v>5</v>
      </c>
    </row>
    <row r="6" customFormat="false" ht="15" hidden="false" customHeight="false" outlineLevel="0" collapsed="false">
      <c r="A6" s="4" t="s">
        <v>48</v>
      </c>
      <c r="B6" s="6" t="n">
        <v>0.03</v>
      </c>
    </row>
    <row r="7" customFormat="false" ht="15" hidden="false" customHeight="false" outlineLevel="0" collapsed="false">
      <c r="A7" s="4" t="s">
        <v>49</v>
      </c>
      <c r="B7" s="6" t="n">
        <v>0.07</v>
      </c>
    </row>
    <row r="8" customFormat="false" ht="15" hidden="false" customHeight="false" outlineLevel="0" collapsed="false">
      <c r="A8" s="4" t="s">
        <v>50</v>
      </c>
      <c r="B8" s="6" t="n">
        <v>0.12</v>
      </c>
      <c r="C8" s="2" t="s">
        <v>51</v>
      </c>
    </row>
    <row r="10" customFormat="false" ht="15" hidden="false" customHeight="false" outlineLevel="0" collapsed="false">
      <c r="A10" s="9" t="s">
        <v>52</v>
      </c>
      <c r="B10" s="10" t="s">
        <v>53</v>
      </c>
      <c r="C10" s="10" t="s">
        <v>54</v>
      </c>
      <c r="D10" s="10" t="s">
        <v>55</v>
      </c>
      <c r="E10" s="10" t="s">
        <v>56</v>
      </c>
      <c r="F10" s="10" t="s">
        <v>57</v>
      </c>
      <c r="G10" s="10" t="s">
        <v>58</v>
      </c>
      <c r="H10" s="10" t="s">
        <v>59</v>
      </c>
      <c r="I10" s="10" t="s">
        <v>60</v>
      </c>
    </row>
    <row r="11" customFormat="false" ht="15" hidden="false" customHeight="false" outlineLevel="0" collapsed="false">
      <c r="A11" s="4" t="s">
        <v>61</v>
      </c>
      <c r="B11" s="11" t="n">
        <f aca="false">Модель!B23</f>
        <v>84175</v>
      </c>
      <c r="C11" s="15" t="n">
        <f aca="false">$B$6</f>
        <v>0.03</v>
      </c>
      <c r="D11" s="11" t="n">
        <f aca="false">B11*(1+C11)^$B$5</f>
        <v>97581.8952042025</v>
      </c>
      <c r="E11" s="11" t="n">
        <f aca="false">D11-B11</f>
        <v>13406.8952042025</v>
      </c>
      <c r="F11" s="11" t="n">
        <f aca="false">Модель!B25*$B$5</f>
        <v>34328.25</v>
      </c>
      <c r="G11" s="11" t="n">
        <f aca="false">E11+F11</f>
        <v>47735.1452042025</v>
      </c>
      <c r="H11" s="15" t="n">
        <f aca="false">G11/B11</f>
        <v>0.567094092120018</v>
      </c>
      <c r="I11" s="15" t="n">
        <f aca="false">H11/$B$5</f>
        <v>0.113418818424004</v>
      </c>
    </row>
    <row r="12" customFormat="false" ht="15" hidden="false" customHeight="false" outlineLevel="0" collapsed="false">
      <c r="A12" s="16" t="s">
        <v>62</v>
      </c>
      <c r="B12" s="11" t="n">
        <f aca="false">Модель!B23</f>
        <v>84175</v>
      </c>
      <c r="C12" s="15" t="n">
        <f aca="false">$B$7</f>
        <v>0.07</v>
      </c>
      <c r="D12" s="11" t="n">
        <f aca="false">B12*(1+C12)^$B$5</f>
        <v>118059.791931673</v>
      </c>
      <c r="E12" s="11" t="n">
        <f aca="false">D12-B12</f>
        <v>33884.7919316725</v>
      </c>
      <c r="F12" s="11" t="n">
        <f aca="false">Модель!B25*$B$5</f>
        <v>34328.25</v>
      </c>
      <c r="G12" s="12" t="n">
        <f aca="false">E12+F12</f>
        <v>68213.0419316725</v>
      </c>
      <c r="H12" s="13" t="n">
        <f aca="false">G12/B12</f>
        <v>0.810371748520018</v>
      </c>
      <c r="I12" s="15" t="n">
        <f aca="false">H12/$B$5</f>
        <v>0.162074349704004</v>
      </c>
    </row>
    <row r="13" customFormat="false" ht="15" hidden="false" customHeight="false" outlineLevel="0" collapsed="false">
      <c r="A13" s="4" t="s">
        <v>63</v>
      </c>
      <c r="B13" s="11" t="n">
        <f aca="false">Модель!B23</f>
        <v>84175</v>
      </c>
      <c r="C13" s="15" t="n">
        <f aca="false">$B$8</f>
        <v>0.12</v>
      </c>
      <c r="D13" s="11" t="n">
        <f aca="false">B13*(1+C13)^$B$5</f>
        <v>148345.11118336</v>
      </c>
      <c r="E13" s="11" t="n">
        <f aca="false">D13-B13</f>
        <v>64170.1111833601</v>
      </c>
      <c r="F13" s="11" t="n">
        <f aca="false">Модель!B25*$B$5</f>
        <v>34328.25</v>
      </c>
      <c r="G13" s="11" t="n">
        <f aca="false">E13+F13</f>
        <v>98498.3611833601</v>
      </c>
      <c r="H13" s="15" t="n">
        <f aca="false">G13/B13</f>
        <v>1.17016170102002</v>
      </c>
      <c r="I13" s="15" t="n">
        <f aca="false">H13/$B$5</f>
        <v>0.234032340204004</v>
      </c>
    </row>
    <row r="14" customFormat="false" ht="15" hidden="false" customHeight="false" outlineLevel="0" collapsed="false">
      <c r="A14" s="4" t="s">
        <v>64</v>
      </c>
      <c r="B14" s="11" t="n">
        <f aca="false">Модель!C23</f>
        <v>119275</v>
      </c>
      <c r="C14" s="15" t="n">
        <f aca="false">$B$6</f>
        <v>0.03</v>
      </c>
      <c r="D14" s="11" t="n">
        <f aca="false">B14*(1+C14)^$B$5</f>
        <v>138272.415212133</v>
      </c>
      <c r="E14" s="11" t="n">
        <f aca="false">D14-B14</f>
        <v>18997.4152121325</v>
      </c>
      <c r="F14" s="11" t="n">
        <f aca="false">Модель!C25*$B$5</f>
        <v>45168.75</v>
      </c>
      <c r="G14" s="11" t="n">
        <f aca="false">E14+F14</f>
        <v>64166.1652121325</v>
      </c>
      <c r="H14" s="15" t="n">
        <f aca="false">G14/B14</f>
        <v>0.53796826838929</v>
      </c>
      <c r="I14" s="15" t="n">
        <f aca="false">H14/$B$5</f>
        <v>0.107593653677858</v>
      </c>
    </row>
    <row r="15" customFormat="false" ht="15" hidden="false" customHeight="false" outlineLevel="0" collapsed="false">
      <c r="A15" s="16" t="s">
        <v>65</v>
      </c>
      <c r="B15" s="11" t="n">
        <f aca="false">Модель!C23</f>
        <v>119275</v>
      </c>
      <c r="C15" s="15" t="n">
        <f aca="false">$B$7</f>
        <v>0.07</v>
      </c>
      <c r="D15" s="11" t="n">
        <f aca="false">B15*(1+C15)^$B$5</f>
        <v>167289.357679243</v>
      </c>
      <c r="E15" s="11" t="n">
        <f aca="false">D15-B15</f>
        <v>48014.3576792426</v>
      </c>
      <c r="F15" s="11" t="n">
        <f aca="false">Модель!C25*$B$5</f>
        <v>45168.75</v>
      </c>
      <c r="G15" s="12" t="n">
        <f aca="false">E15+F15</f>
        <v>93183.1076792426</v>
      </c>
      <c r="H15" s="13" t="n">
        <f aca="false">G15/B15</f>
        <v>0.78124592478929</v>
      </c>
      <c r="I15" s="15" t="n">
        <f aca="false">H15/$B$5</f>
        <v>0.156249184957858</v>
      </c>
    </row>
    <row r="16" customFormat="false" ht="15" hidden="false" customHeight="false" outlineLevel="0" collapsed="false">
      <c r="A16" s="4" t="s">
        <v>66</v>
      </c>
      <c r="B16" s="11" t="n">
        <f aca="false">Модель!C23</f>
        <v>119275</v>
      </c>
      <c r="C16" s="15" t="n">
        <f aca="false">$B$8</f>
        <v>0.12</v>
      </c>
      <c r="D16" s="11" t="n">
        <f aca="false">B16*(1+C16)^$B$5</f>
        <v>210203.30426368</v>
      </c>
      <c r="E16" s="11" t="n">
        <f aca="false">D16-B16</f>
        <v>90928.3042636801</v>
      </c>
      <c r="F16" s="11" t="n">
        <f aca="false">Модель!C25*$B$5</f>
        <v>45168.75</v>
      </c>
      <c r="G16" s="11" t="n">
        <f aca="false">E16+F16</f>
        <v>136097.05426368</v>
      </c>
      <c r="H16" s="15" t="n">
        <f aca="false">G16/B16</f>
        <v>1.14103587728929</v>
      </c>
      <c r="I16" s="15" t="n">
        <f aca="false">H16/$B$5</f>
        <v>0.228207175457858</v>
      </c>
    </row>
    <row r="17" customFormat="false" ht="15" hidden="false" customHeight="false" outlineLevel="0" collapsed="false">
      <c r="A17" s="4" t="s">
        <v>67</v>
      </c>
      <c r="B17" s="11" t="n">
        <f aca="false">Модель!D23</f>
        <v>228475</v>
      </c>
      <c r="C17" s="15" t="n">
        <f aca="false">$B$6</f>
        <v>0.03</v>
      </c>
      <c r="D17" s="11" t="n">
        <f aca="false">B17*(1+C17)^$B$5</f>
        <v>264865.144125693</v>
      </c>
      <c r="E17" s="11" t="n">
        <f aca="false">D17-B17</f>
        <v>36390.1441256925</v>
      </c>
      <c r="F17" s="11" t="n">
        <f aca="false">Модель!D25*$B$5</f>
        <v>75431.8125</v>
      </c>
      <c r="G17" s="11" t="n">
        <f aca="false">E17+F17</f>
        <v>111821.956625692</v>
      </c>
      <c r="H17" s="15" t="n">
        <f aca="false">G17/B17</f>
        <v>0.489427537479779</v>
      </c>
      <c r="I17" s="15" t="n">
        <f aca="false">H17/$B$5</f>
        <v>0.0978855074959558</v>
      </c>
    </row>
    <row r="18" customFormat="false" ht="15" hidden="false" customHeight="false" outlineLevel="0" collapsed="false">
      <c r="A18" s="16" t="s">
        <v>68</v>
      </c>
      <c r="B18" s="11" t="n">
        <f aca="false">Модель!D23</f>
        <v>228475</v>
      </c>
      <c r="C18" s="15" t="n">
        <f aca="false">$B$7</f>
        <v>0.07</v>
      </c>
      <c r="D18" s="11" t="n">
        <f aca="false">B18*(1+C18)^$B$5</f>
        <v>320448.006671683</v>
      </c>
      <c r="E18" s="11" t="n">
        <f aca="false">D18-B18</f>
        <v>91973.0066716826</v>
      </c>
      <c r="F18" s="11" t="n">
        <f aca="false">Модель!D25*$B$5</f>
        <v>75431.8125</v>
      </c>
      <c r="G18" s="12" t="n">
        <f aca="false">E18+F18</f>
        <v>167404.819171683</v>
      </c>
      <c r="H18" s="13" t="n">
        <f aca="false">G18/B18</f>
        <v>0.732705193879779</v>
      </c>
      <c r="I18" s="15" t="n">
        <f aca="false">H18/$B$5</f>
        <v>0.146541038775956</v>
      </c>
    </row>
    <row r="19" customFormat="false" ht="15" hidden="false" customHeight="false" outlineLevel="0" collapsed="false">
      <c r="A19" s="4" t="s">
        <v>69</v>
      </c>
      <c r="B19" s="11" t="n">
        <f aca="false">Модель!D23</f>
        <v>228475</v>
      </c>
      <c r="C19" s="15" t="n">
        <f aca="false">$B$8</f>
        <v>0.12</v>
      </c>
      <c r="D19" s="11" t="n">
        <f aca="false">B19*(1+C19)^$B$5</f>
        <v>402651.01606912</v>
      </c>
      <c r="E19" s="11" t="n">
        <f aca="false">D19-B19</f>
        <v>174176.01606912</v>
      </c>
      <c r="F19" s="11" t="n">
        <f aca="false">Модель!D25*$B$5</f>
        <v>75431.8125</v>
      </c>
      <c r="G19" s="11" t="n">
        <f aca="false">E19+F19</f>
        <v>249607.82856912</v>
      </c>
      <c r="H19" s="15" t="n">
        <f aca="false">G19/B19</f>
        <v>1.09249514637978</v>
      </c>
      <c r="I19" s="15" t="n">
        <f aca="false">H19/$B$5</f>
        <v>0.218499029275956</v>
      </c>
    </row>
    <row r="21" customFormat="false" ht="15" hidden="false" customHeight="false" outlineLevel="0" collapsed="false">
      <c r="A21" s="2" t="s">
        <v>70</v>
      </c>
    </row>
    <row r="22" customFormat="false" ht="15" hidden="false" customHeight="false" outlineLevel="0" collapsed="false">
      <c r="A22" s="2" t="s">
        <v>71</v>
      </c>
    </row>
    <row r="23" customFormat="false" ht="15" hidden="false" customHeight="false" outlineLevel="0" collapsed="false">
      <c r="A23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2026-09-05T16:15:42Z</dcterms:created>
  <dc:creator>openpyxl</dc:creator>
  <dc:description/>
  <dc:language>en-US</dc:language>
  <cp:lastModifiedBy/>
  <dcterms:modified xsi:type="dcterms:W3CDTF">2026-09-05T16:15:42Z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