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ef0cc7df5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fort" sheetId="1" r:id="R4701ba46bc6542e0"/>
    <x:sheet xmlns:r="http://schemas.openxmlformats.org/officeDocument/2006/relationships" name="Входи" sheetId="2" r:id="R2d5eba05677b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—&quot;"/>
    <x:numFmt numFmtId="201" formatCode="0.0%"/>
    <x:numFmt numFmtId="202" formatCode="0.0"/>
  </x:numFmts>
  <x:fonts count="7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1"/>
      <x:color rgb="FF0000FF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92929"/>
      </x:patternFill>
    </x:fill>
    <x:fill>
      <x:patternFill patternType="solid">
        <x:fgColor rgb="FFEEEEE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fb90e44784d6e" /><Relationship Type="http://schemas.openxmlformats.org/officeDocument/2006/relationships/theme" Target="/xl/theme/theme1.xml" Id="R801eb5e41d294910" /><Relationship Type="http://schemas.openxmlformats.org/officeDocument/2006/relationships/sharedStrings" Target="/xl/sharedStrings.xml" Id="Rb7b7371d9586461e" /><Relationship Type="http://schemas.openxmlformats.org/officeDocument/2006/relationships/worksheet" Target="/xl/worksheets/sheet1.xml" Id="R4701ba46bc6542e0" /><Relationship Type="http://schemas.openxmlformats.org/officeDocument/2006/relationships/worksheet" Target="/xl/worksheets/sheet2.xml" Id="R2d5eba05677b4d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630001068115234" hidden="0" customWidth="1"/>
    <x:col min="2" max="2" width="23.75" hidden="0" customWidth="1"/>
    <x:col min="3" max="3" width="23.75" hidden="0" customWidth="1"/>
    <x:col min="4" max="4" width="23.75" hidden="0" customWidth="1"/>
    <x:col min="5" max="5" width="23.7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Чотири тематичні Comfort</x:v>
      </x:c>
      <x:c r="B2" s="3"/>
      <x:c r="C2" s="3"/>
      <x:c r="D2" s="3"/>
      <x:c r="E2" s="3"/>
      <x:c r="F2" s="2"/>
    </x:row>
    <x:row r="3" ht="25" customHeight="1">
      <x:c r="A3" s="2" t="str">
        <x:v>Кожен тільки для двох дорослих, 18+. Без дітей і додаткових місць.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36" customHeight="1">
      <x:c r="A5" s="12" t="str">
        <x:v>Показник</x:v>
      </x:c>
      <x:c r="B5" s="12" t="str">
        <x:v>Адам і Єва</x:v>
      </x:c>
      <x:c r="C5" s="12" t="str">
        <x:v>Пікассо</x:v>
      </x:c>
      <x:c r="D5" s="12" t="str">
        <x:v>Max Royal</x:v>
      </x:c>
      <x:c r="E5" s="12" t="str">
        <x:v>Ромео і Джульєтта</x:v>
      </x:c>
      <x:c r="F5" s="2"/>
    </x:row>
    <x:row r="6" ht="25" customHeight="1">
      <x:c r="A6" s="2" t="str">
        <x:v>Будинків</x:v>
      </x:c>
      <x:c r="B6" s="2" t="n">
        <x:f>'Входи'!$B$5/4</x:f>
        <x:v>1</x:v>
      </x:c>
      <x:c r="C6" s="2" t="n">
        <x:f>'Входи'!$B$5/4</x:f>
        <x:v>1</x:v>
      </x:c>
      <x:c r="D6" s="2" t="n">
        <x:f>'Входи'!$B$5/4</x:f>
        <x:v>1</x:v>
      </x:c>
      <x:c r="E6" s="2" t="n">
        <x:f>'Входи'!$B$5/4</x:f>
        <x:v>1</x:v>
      </x:c>
      <x:c r="F6" s="2"/>
    </x:row>
    <x:row r="7" ht="25" customHeight="1">
      <x:c r="A7" s="2" t="str">
        <x:v>Дорослих гостей</x:v>
      </x:c>
      <x:c r="B7" s="2" t="n">
        <x:f>'Входи'!$B$6</x:f>
        <x:v>2</x:v>
      </x:c>
      <x:c r="C7" s="2" t="n">
        <x:f>'Входи'!$B$6</x:f>
        <x:v>2</x:v>
      </x:c>
      <x:c r="D7" s="2" t="n">
        <x:f>'Входи'!$B$6</x:f>
        <x:v>2</x:v>
      </x:c>
      <x:c r="E7" s="2" t="n">
        <x:f>'Входи'!$B$6</x:f>
        <x:v>2</x:v>
      </x:c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 t="str">
        <x:v>База, оснащення і тераса, USD</x:v>
      </x:c>
      <x:c r="B9" s="13" t="str">
        <x:f>IF(COUNT('Входи'!$B$10:$B$12)=3,SUM('Входи'!$B$10:$B$12),"")</x:f>
      </x:c>
      <x:c r="C9" s="13" t="str">
        <x:f>IF(COUNT('Входи'!$B$10:$B$12)=3,SUM('Входи'!$B$10:$B$12),"")</x:f>
      </x:c>
      <x:c r="D9" s="13" t="str">
        <x:f>IF(COUNT('Входи'!$B$10:$B$12)=3,SUM('Входи'!$B$10:$B$12),"")</x:f>
      </x:c>
      <x:c r="E9" s="13" t="str">
        <x:f>IF(COUNT('Входи'!$B$10:$B$12)=3,SUM('Входи'!$B$10:$B$12),"")</x:f>
      </x:c>
      <x:c r="F9" s="2"/>
    </x:row>
    <x:row r="10" ht="25" customHeight="1">
      <x:c r="A10" s="2" t="str">
        <x:v>Тематичний декор, USD</x:v>
      </x:c>
      <x:c r="B10" s="13" t="str">
        <x:f>IF(COUNT('Входи'!B18)=1,'Входи'!B18,"")</x:f>
      </x:c>
      <x:c r="C10" s="13" t="str">
        <x:f>IF(COUNT('Входи'!B19)=1,'Входи'!B19,"")</x:f>
      </x:c>
      <x:c r="D10" s="13" t="str">
        <x:f>IF(COUNT('Входи'!B20)=1,'Входи'!B20,"")</x:f>
      </x:c>
      <x:c r="E10" s="13" t="str">
        <x:f>IF(COUNT('Входи'!B21)=1,'Входи'!B21,"")</x:f>
      </x:c>
      <x:c r="F10" s="2"/>
    </x:row>
    <x:row r="11" ht="25" customHeight="1">
      <x:c r="A11" s="2" t="str">
        <x:v>Частка інфраструктури, USD</x:v>
      </x:c>
      <x:c r="B11" s="13" t="str">
        <x:f>IF(AND(COUNT('Входи'!$B$13)=1,'Входи'!$B$5&gt;0),'Входи'!$B$13/'Входи'!$B$5,"")</x:f>
      </x:c>
      <x:c r="C11" s="13" t="str">
        <x:f>IF(AND(COUNT('Входи'!$B$13)=1,'Входи'!$B$5&gt;0),'Входи'!$B$13/'Входи'!$B$5,"")</x:f>
      </x:c>
      <x:c r="D11" s="13" t="str">
        <x:f>IF(AND(COUNT('Входи'!$B$13)=1,'Входи'!$B$5&gt;0),'Входи'!$B$13/'Входи'!$B$5,"")</x:f>
      </x:c>
      <x:c r="E11" s="13" t="str">
        <x:f>IF(AND(COUNT('Входи'!$B$13)=1,'Входи'!$B$5&gt;0),'Входи'!$B$13/'Входи'!$B$5,"")</x:f>
      </x:c>
      <x:c r="F11" s="2"/>
    </x:row>
    <x:row r="12" ht="25" customHeight="1">
      <x:c r="A12" s="2" t="str">
        <x:v>Витрати до резерву, USD</x:v>
      </x:c>
      <x:c r="B12" s="13" t="str">
        <x:f>IF(COUNT(B9:B11)=3,SUM(B9:B11),"")</x:f>
      </x:c>
      <x:c r="C12" s="13" t="str">
        <x:f>IF(COUNT(C9:C11)=3,SUM(C9:C11),"")</x:f>
      </x:c>
      <x:c r="D12" s="13" t="str">
        <x:f>IF(COUNT(D9:D11)=3,SUM(D9:D11),"")</x:f>
      </x:c>
      <x:c r="E12" s="13" t="str">
        <x:f>IF(COUNT(E9:E11)=3,SUM(E9:E11),"")</x:f>
      </x:c>
      <x:c r="F12" s="2"/>
    </x:row>
    <x:row r="13" ht="25" customHeight="1">
      <x:c r="A13" s="2" t="str">
        <x:v>Резерв, USD</x:v>
      </x:c>
      <x:c r="B13" s="13" t="str">
        <x:f>IF(AND(COUNT(B12)=1,COUNT('Входи'!$B$14)=1),B12*'Входи'!$B$14,"")</x:f>
      </x:c>
      <x:c r="C13" s="13" t="str">
        <x:f>IF(AND(COUNT(C12)=1,COUNT('Входи'!$B$14)=1),C12*'Входи'!$B$14,"")</x:f>
      </x:c>
      <x:c r="D13" s="13" t="str">
        <x:f>IF(AND(COUNT(D12)=1,COUNT('Входи'!$B$14)=1),D12*'Входи'!$B$14,"")</x:f>
      </x:c>
      <x:c r="E13" s="13" t="str">
        <x:f>IF(AND(COUNT(E12)=1,COUNT('Входи'!$B$14)=1),E12*'Входи'!$B$14,"")</x:f>
      </x:c>
      <x:c r="F13" s="2"/>
    </x:row>
    <x:row r="14" ht="25" customHeight="1">
      <x:c r="A14" s="18" t="str">
        <x:v>Собівартість, USD</x:v>
      </x:c>
      <x:c r="B14" s="19" t="str">
        <x:f>IF(COUNT(B12:B13)=2,SUM(B12:B13),"")</x:f>
      </x:c>
      <x:c r="C14" s="19" t="str">
        <x:f>IF(COUNT(C12:C13)=2,SUM(C12:C13),"")</x:f>
      </x:c>
      <x:c r="D14" s="19" t="str">
        <x:f>IF(COUNT(D12:D13)=2,SUM(D12:D13),"")</x:f>
      </x:c>
      <x:c r="E14" s="19" t="str">
        <x:f>IF(COUNT(E12:E13)=2,SUM(E12:E13),"")</x:f>
      </x:c>
      <x:c r="F14" s="2"/>
    </x:row>
    <x:row r="15" ht="25" customHeight="1">
      <x:c r="A15" s="2"/>
      <x:c r="B15" s="13"/>
      <x:c r="C15" s="13"/>
      <x:c r="D15" s="13"/>
      <x:c r="E15" s="13"/>
      <x:c r="F15" s="2"/>
    </x:row>
    <x:row r="16" ht="25" customHeight="1">
      <x:c r="A16" s="18" t="str">
        <x:v>Ціна продажу, USD</x:v>
      </x:c>
      <x:c r="B16" s="19" t="str">
        <x:f>IF(AND(COUNT(B14)=1,COUNT('Входи'!$B$15)=1),B14*(1+'Входи'!$B$15),"")</x:f>
      </x:c>
      <x:c r="C16" s="19" t="str">
        <x:f>IF(AND(COUNT(C14)=1,COUNT('Входи'!$B$15)=1),C14*(1+'Входи'!$B$15),"")</x:f>
      </x:c>
      <x:c r="D16" s="19" t="str">
        <x:f>IF(AND(COUNT(D14)=1,COUNT('Входи'!$B$15)=1),D14*(1+'Входи'!$B$15),"")</x:f>
      </x:c>
      <x:c r="E16" s="19" t="str">
        <x:f>IF(AND(COUNT(E14)=1,COUNT('Входи'!$B$15)=1),E14*(1+'Входи'!$B$15),"")</x:f>
      </x:c>
      <x:c r="F16" s="2"/>
    </x:row>
    <x:row r="17" ht="25" customHeight="1">
      <x:c r="A17" s="2"/>
      <x:c r="B17" s="13"/>
      <x:c r="C17" s="13"/>
      <x:c r="D17" s="13"/>
      <x:c r="E17" s="13"/>
      <x:c r="F17" s="2"/>
    </x:row>
    <x:row r="18" ht="25" customHeight="1">
      <x:c r="A18" s="2" t="str">
        <x:v>Орендна виручка за рік, USD</x:v>
      </x:c>
      <x:c r="B18" s="13" t="str">
        <x:f>IF(AND(COUNT('Входи'!$B$24:$B$25)=2,COUNT('Входи'!$B$27)=1),'Входи'!$B$24*'Входи'!$B$25*'Входи'!$B$27,"")</x:f>
      </x:c>
      <x:c r="C18" s="13" t="str">
        <x:f>IF(AND(COUNT('Входи'!$B$24:$B$25)=2,COUNT('Входи'!$B$27)=1),'Входи'!$B$24*'Входи'!$B$25*'Входи'!$B$27,"")</x:f>
      </x:c>
      <x:c r="D18" s="13" t="str">
        <x:f>IF(AND(COUNT('Входи'!$B$24:$B$25)=2,COUNT('Входи'!$B$27)=1),'Входи'!$B$24*'Входи'!$B$25*'Входи'!$B$27,"")</x:f>
      </x:c>
      <x:c r="E18" s="13" t="str">
        <x:f>IF(AND(COUNT('Входи'!$B$24:$B$25)=2,COUNT('Входи'!$B$27)=1),'Входи'!$B$24*'Входи'!$B$25*'Входи'!$B$27,"")</x:f>
      </x:c>
      <x:c r="F18" s="2"/>
    </x:row>
    <x:row r="19" ht="25" customHeight="1">
      <x:c r="A19" s="2" t="str">
        <x:v>Опекс і управління, USD</x:v>
      </x:c>
      <x:c r="B19" s="13" t="str">
        <x:f>IF(AND(COUNT(B18)=1,COUNT('Входи'!$B$26)=1),B18*'Входи'!$B$26,"")</x:f>
      </x:c>
      <x:c r="C19" s="13" t="str">
        <x:f>IF(AND(COUNT(C18)=1,COUNT('Входи'!$B$26)=1),C18*'Входи'!$B$26,"")</x:f>
      </x:c>
      <x:c r="D19" s="13" t="str">
        <x:f>IF(AND(COUNT(D18)=1,COUNT('Входи'!$B$26)=1),D18*'Входи'!$B$26,"")</x:f>
      </x:c>
      <x:c r="E19" s="13" t="str">
        <x:f>IF(AND(COUNT(E18)=1,COUNT('Входи'!$B$26)=1),E18*'Входи'!$B$26,"")</x:f>
      </x:c>
      <x:c r="F19" s="2"/>
    </x:row>
    <x:row r="20" ht="25" customHeight="1">
      <x:c r="A20" s="18" t="str">
        <x:v>Операційний дохід, USD</x:v>
      </x:c>
      <x:c r="B20" s="19" t="str">
        <x:f>IF(COUNT(B18:B19)=2,B18-B19,"")</x:f>
      </x:c>
      <x:c r="C20" s="19" t="str">
        <x:f>IF(COUNT(C18:C19)=2,C18-C19,"")</x:f>
      </x:c>
      <x:c r="D20" s="19" t="str">
        <x:f>IF(COUNT(D18:D19)=2,D18-D19,"")</x:f>
      </x:c>
      <x:c r="E20" s="19" t="str">
        <x:f>IF(COUNT(E18:E19)=2,E18-E19,"")</x:f>
      </x:c>
      <x:c r="F20" s="2"/>
    </x:row>
    <x:row r="21" ht="25" customHeight="1">
      <x:c r="A21" s="2" t="str">
        <x:v>Дохідність до ціни продажу</x:v>
      </x:c>
      <x:c r="B21" s="14" t="str">
        <x:f>IF(AND(COUNT(B16,B20)=2,B16&gt;0),B20/B16,"")</x:f>
      </x:c>
      <x:c r="C21" s="14" t="str">
        <x:f>IF(AND(COUNT(C16,C20)=2,C16&gt;0),C20/C16,"")</x:f>
      </x:c>
      <x:c r="D21" s="14" t="str">
        <x:f>IF(AND(COUNT(D16,D20)=2,D16&gt;0),D20/D16,"")</x:f>
      </x:c>
      <x:c r="E21" s="14" t="str">
        <x:f>IF(AND(COUNT(E16,E20)=2,E16&gt;0),E20/E16,"")</x:f>
      </x:c>
      <x:c r="F21" s="2"/>
    </x:row>
    <x:row r="22" ht="25" customHeight="1">
      <x:c r="A22" s="2" t="str">
        <x:v>Окупність лише орендою, років</x:v>
      </x:c>
      <x:c r="B22" s="15" t="str">
        <x:f>IF(AND(COUNT(B16,B20)=2,B20&gt;0),B16/B20,"")</x:f>
      </x:c>
      <x:c r="C22" s="15" t="str">
        <x:f>IF(AND(COUNT(C16,C20)=2,C20&gt;0),C16/C20,"")</x:f>
      </x:c>
      <x:c r="D22" s="15" t="str">
        <x:f>IF(AND(COUNT(D16,D20)=2,D20&gt;0),D16/D20,"")</x:f>
      </x:c>
      <x:c r="E22" s="15" t="str">
        <x:f>IF(AND(COUNT(E16,E20)=2,E20&gt;0),E16/E20,"")</x:f>
      </x:c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18" t="str">
        <x:v>Усього будинків</x:v>
      </x:c>
      <x:c r="B25" s="18" t="n">
        <x:f>SUM(B6:E6)</x:f>
        <x:v>4</x:v>
      </x:c>
      <x:c r="C25" s="18"/>
      <x:c r="D25" s="18"/>
      <x:c r="E25" s="18"/>
      <x:c r="F25" s="2"/>
    </x:row>
    <x:row r="26" ht="25" customHeight="1">
      <x:c r="A26" s="18" t="str">
        <x:v>Максимум дорослих у серії</x:v>
      </x:c>
      <x:c r="B26" s="18" t="n">
        <x:f>SUMPRODUCT(B6:E6,B7:E7)</x:f>
        <x:v>8</x:v>
      </x:c>
      <x:c r="C26" s="18"/>
      <x:c r="D26" s="18"/>
      <x:c r="E26" s="18"/>
      <x:c r="F26" s="2"/>
    </x:row>
    <x:row r="27" ht="25" customHeight="1">
      <x:c r="A27" s="18" t="str">
        <x:v>Загальна собівартість, USD</x:v>
      </x:c>
      <x:c r="B27" s="19" t="str">
        <x:f>IF(COUNT(B14:E14)=4,SUM(B14:E14),"")</x:f>
      </x:c>
      <x:c r="C27" s="18"/>
      <x:c r="D27" s="18"/>
      <x:c r="E27" s="18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 t="str">
        <x:v>Грошові результати порожні, доки не заповнено потрібні входи.</x:v>
      </x:c>
      <x:c r="B30" s="2"/>
      <x:c r="C30" s="2"/>
      <x:c r="D30" s="2"/>
      <x:c r="E30" s="2"/>
      <x:c r="F30" s="2"/>
    </x:row>
    <x:row r="31" ht="25" customHeight="1">
      <x:c r="A31" s="2" t="str">
        <x:v>Попередня модель збережена в planning/archive/2026-09-08_before_comfort/.</x:v>
      </x:c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25" customHeight="1">
      <x:c r="A33" s="2"/>
      <x:c r="B33" s="2"/>
      <x:c r="C33" s="2"/>
      <x:c r="D33" s="2"/>
      <x:c r="E33" s="2"/>
      <x:c r="F33" s="2"/>
    </x:row>
    <x:row r="34" ht="25" customHeight="1">
      <x:c r="A34" s="2"/>
      <x:c r="B34" s="2"/>
      <x:c r="C34" s="2"/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1.880001068115234" hidden="0" customWidth="1"/>
    <x:col min="2" max="2" width="20" hidden="0" customWidth="1"/>
    <x:col min="3" max="3" width="3.7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Вхідні дані Comfort</x:v>
      </x:c>
      <x:c r="B2" s="3"/>
      <x:c r="C2" s="2"/>
      <x:c r="D2" s="2"/>
      <x:c r="E2" s="2"/>
      <x:c r="F2" s="2"/>
    </x:row>
    <x:row r="3" ht="25" customHeight="1">
      <x:c r="A3" s="2" t="str">
        <x:v>Джерело: рішення власника 08.09.2026; кошториси ще не надані.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 t="str">
        <x:v>Кількість будинків</x:v>
      </x:c>
      <x:c r="B5" s="8" t="n">
        <x:v>4</x:v>
      </x:c>
      <x:c r="C5" s="2"/>
      <x:c r="D5" s="2"/>
      <x:c r="E5" s="2"/>
      <x:c r="F5" s="2"/>
    </x:row>
    <x:row r="6" ht="25" customHeight="1">
      <x:c r="A6" s="2" t="str">
        <x:v>Дорослих у кожному</x:v>
      </x:c>
      <x:c r="B6" s="8" t="n">
        <x:v>2</x:v>
      </x:c>
      <x:c r="C6" s="2"/>
      <x:c r="D6" s="2"/>
      <x:c r="E6" s="2"/>
      <x:c r="F6" s="2"/>
    </x:row>
    <x:row r="7" ht="25" customHeight="1">
      <x:c r="A7" s="2" t="str">
        <x:v>Мінімальний вік гостей</x:v>
      </x:c>
      <x:c r="B7" s="8" t="n">
        <x:v>18</x:v>
      </x:c>
      <x:c r="C7" s="2"/>
      <x:c r="D7" s="2"/>
      <x:c r="E7" s="2"/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10" t="str">
        <x:v>Спільні витрати та припущення</x:v>
      </x:c>
      <x:c r="B9" s="10"/>
      <x:c r="C9" s="2"/>
      <x:c r="D9" s="2"/>
      <x:c r="E9" s="2"/>
      <x:c r="F9" s="2"/>
    </x:row>
    <x:row r="10" ht="25" customHeight="1">
      <x:c r="A10" s="2" t="str">
        <x:v>Будівельна база одного будинку, USD</x:v>
      </x:c>
      <x:c r="B10" s="6"/>
      <x:c r="C10" s="2"/>
      <x:c r="D10" s="2"/>
      <x:c r="E10" s="2"/>
      <x:c r="F10" s="2"/>
    </x:row>
    <x:row r="11" ht="25" customHeight="1">
      <x:c r="A11" s="2" t="str">
        <x:v>Необхідне оснащення одного будинку, USD</x:v>
      </x:c>
      <x:c r="B11" s="6"/>
      <x:c r="C11" s="2"/>
      <x:c r="D11" s="2"/>
      <x:c r="E11" s="2"/>
      <x:c r="F11" s="2"/>
    </x:row>
    <x:row r="12" ht="25" customHeight="1">
      <x:c r="A12" s="2" t="str">
        <x:v>Тераса, купіль і два лежаки / будинок, USD</x:v>
      </x:c>
      <x:c r="B12" s="6"/>
      <x:c r="C12" s="2"/>
      <x:c r="D12" s="2"/>
      <x:c r="E12" s="2"/>
      <x:c r="F12" s="2"/>
    </x:row>
    <x:row r="13" ht="25" customHeight="1">
      <x:c r="A13" s="2" t="str">
        <x:v>Спільна інфраструктура комплексу, USD</x:v>
      </x:c>
      <x:c r="B13" s="6"/>
      <x:c r="C13" s="2"/>
      <x:c r="D13" s="2"/>
      <x:c r="E13" s="2"/>
      <x:c r="F13" s="2"/>
    </x:row>
    <x:row r="14" ht="25" customHeight="1">
      <x:c r="A14" s="2" t="str">
        <x:v>Резерв до всіх витрат, частка</x:v>
      </x:c>
      <x:c r="B14" s="7"/>
      <x:c r="C14" s="2"/>
      <x:c r="D14" s="2"/>
      <x:c r="E14" s="2"/>
      <x:c r="F14" s="2"/>
    </x:row>
    <x:row r="15" ht="25" customHeight="1">
      <x:c r="A15" s="2" t="str">
        <x:v>Націнка до собівартості для продажу, частка</x:v>
      </x:c>
      <x:c r="B15" s="7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10" t="str">
        <x:v>Індивідуальний тематичний декор</x:v>
      </x:c>
      <x:c r="B17" s="10"/>
      <x:c r="C17" s="2"/>
      <x:c r="D17" s="2"/>
      <x:c r="E17" s="2"/>
      <x:c r="F17" s="2"/>
    </x:row>
    <x:row r="18" ht="25" customHeight="1">
      <x:c r="A18" s="2" t="str">
        <x:v>Декор: Адам і Єва, USD</x:v>
      </x:c>
      <x:c r="B18" s="6"/>
      <x:c r="C18" s="2"/>
      <x:c r="D18" s="2"/>
      <x:c r="E18" s="2"/>
      <x:c r="F18" s="2"/>
    </x:row>
    <x:row r="19" ht="25" customHeight="1">
      <x:c r="A19" s="2" t="str">
        <x:v>Декор: Пікассо, USD</x:v>
      </x:c>
      <x:c r="B19" s="6"/>
      <x:c r="C19" s="2"/>
      <x:c r="D19" s="2"/>
      <x:c r="E19" s="2"/>
      <x:c r="F19" s="2"/>
    </x:row>
    <x:row r="20" ht="25" customHeight="1">
      <x:c r="A20" s="2" t="str">
        <x:v>Декор: Max Royal, USD</x:v>
      </x:c>
      <x:c r="B20" s="6"/>
      <x:c r="C20" s="2"/>
      <x:c r="D20" s="2"/>
      <x:c r="E20" s="2"/>
      <x:c r="F20" s="2"/>
    </x:row>
    <x:row r="21" ht="25" customHeight="1">
      <x:c r="A21" s="2" t="str">
        <x:v>Декор: Ромео і Джульєтта, USD</x:v>
      </x:c>
      <x:c r="B21" s="6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10" t="str">
        <x:v>Орендна економіка</x:v>
      </x:c>
      <x:c r="B23" s="10"/>
      <x:c r="C23" s="2"/>
      <x:c r="D23" s="2"/>
      <x:c r="E23" s="2"/>
      <x:c r="F23" s="2"/>
    </x:row>
    <x:row r="24" ht="25" customHeight="1">
      <x:c r="A24" s="2" t="str">
        <x:v>Середній тариф / будинок за ніч, USD</x:v>
      </x:c>
      <x:c r="B24" s="6"/>
      <x:c r="C24" s="2"/>
      <x:c r="D24" s="2"/>
      <x:c r="E24" s="2"/>
      <x:c r="F24" s="2"/>
    </x:row>
    <x:row r="25" ht="25" customHeight="1">
      <x:c r="A25" s="2" t="str">
        <x:v>Завантаження, частка доступних ночей</x:v>
      </x:c>
      <x:c r="B25" s="7"/>
      <x:c r="C25" s="2"/>
      <x:c r="D25" s="2"/>
      <x:c r="E25" s="2"/>
      <x:c r="F25" s="2"/>
    </x:row>
    <x:row r="26" ht="25" customHeight="1">
      <x:c r="A26" s="2" t="str">
        <x:v>Опекс і управління, частка орендної виручки</x:v>
      </x:c>
      <x:c r="B26" s="7"/>
      <x:c r="C26" s="2"/>
      <x:c r="D26" s="2"/>
      <x:c r="E26" s="2"/>
      <x:c r="F26" s="2"/>
    </x:row>
    <x:row r="27" ht="25" customHeight="1">
      <x:c r="A27" s="2" t="str">
        <x:v>Доступні ночі за рік / будинок</x:v>
      </x:c>
      <x:c r="B27" s="6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 t="str">
        <x:v>Жовті поля заповнюються після перевірки. Порожнє ≠ нуль.</x:v>
      </x:c>
      <x:c r="B29" s="2"/>
      <x:c r="C29" s="2"/>
      <x:c r="D29" s="2"/>
      <x:c r="E29" s="2"/>
      <x:c r="F29" s="2"/>
    </x:row>
    <x:row r="30" ht="25" customHeight="1">
      <x:c r="A30" s="2" t="str">
        <x:v>Доступний бюджет — ціль; старі сімейні ціни не перенесені.</x:v>
      </x:c>
      <x:c r="B30" s="2"/>
      <x:c r="C30" s="2"/>
      <x:c r="D30" s="2"/>
      <x:c r="E30" s="2"/>
      <x:c r="F30" s="2"/>
    </x:row>
    <x:row r="31" ht="25" customHeight="1">
      <x:c r="A31" s="2" t="str">
        <x:v>Інфраструктура ділиться порівну між чотирма будинками.</x:v>
      </x:c>
      <x:c r="B31" s="2"/>
      <x:c r="C31" s="2"/>
      <x:c r="D31" s="2"/>
      <x:c r="E31" s="2"/>
      <x:c r="F31" s="2"/>
    </x:row>
    <x:row r="32" ht="25" customHeight="1">
      <x:c r="A32" s="2" t="str">
        <x:v>Опекс охоплює сервіс, управління й операційні витрати.</x:v>
      </x:c>
      <x:c r="B32" s="2"/>
      <x:c r="C32" s="2"/>
      <x:c r="D32" s="2"/>
      <x:c r="E32" s="2"/>
      <x:c r="F32" s="2"/>
    </x:row>
    <x:row r="33" ht="25" customHeight="1">
      <x:c r="A33" s="2" t="str">
        <x:v>Фінансування й податки власника активу рахуються окремо.</x:v>
      </x:c>
      <x:c r="B33" s="2"/>
      <x:c r="C33" s="2"/>
      <x:c r="D33" s="2"/>
      <x:c r="E33" s="2"/>
      <x:c r="F33" s="2"/>
    </x:row>
    <x:row r="34" ht="25" customHeight="1">
      <x:c r="A34" s="2" t="str">
        <x:v>Суми вводяться в USD; курс не потрібен для цієї моделі.</x:v>
      </x:c>
      <x:c r="B34" s="2"/>
      <x:c r="C34" s="2"/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